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rirafa/Desktop/University/Thesis/for paper/"/>
    </mc:Choice>
  </mc:AlternateContent>
  <xr:revisionPtr revIDLastSave="0" documentId="13_ncr:1_{137AC21A-7F3E-6C4E-8BB9-5B66E88B02AE}" xr6:coauthVersionLast="47" xr6:coauthVersionMax="47" xr10:uidLastSave="{00000000-0000-0000-0000-000000000000}"/>
  <bookViews>
    <workbookView xWindow="-51200" yWindow="-8420" windowWidth="51200" windowHeight="28300" activeTab="1" xr2:uid="{00000000-000D-0000-FFFF-FFFF00000000}"/>
  </bookViews>
  <sheets>
    <sheet name="To_Know_A_Woman_Clusters_All" sheetId="1" r:id="rId1"/>
    <sheet name="Sheet1" sheetId="2" r:id="rId2"/>
  </sheets>
  <definedNames>
    <definedName name="_xlnm._FilterDatabase" localSheetId="0" hidden="1">To_Know_A_Woman_Clusters_All!$A$1:$B$57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 a="1"/>
  <c r="O10" i="1" s="1"/>
  <c r="I43" i="1"/>
  <c r="I42" i="1"/>
  <c r="I41" i="1"/>
  <c r="I39" i="1"/>
  <c r="I38" i="1"/>
  <c r="I37" i="1"/>
  <c r="I34" i="1"/>
  <c r="I31" i="1"/>
  <c r="I30" i="1"/>
  <c r="I27" i="1"/>
  <c r="I26" i="1"/>
  <c r="I25" i="1"/>
  <c r="I24" i="1"/>
  <c r="I23" i="1"/>
  <c r="I19" i="1"/>
  <c r="I17" i="1"/>
  <c r="K43" i="1"/>
  <c r="K42" i="1"/>
  <c r="K41" i="1"/>
  <c r="K39" i="1"/>
  <c r="K38" i="1"/>
  <c r="K37" i="1"/>
  <c r="K34" i="1"/>
  <c r="K31" i="1"/>
  <c r="K30" i="1"/>
  <c r="K27" i="1"/>
  <c r="K26" i="1"/>
  <c r="K25" i="1"/>
  <c r="K24" i="1"/>
  <c r="K23" i="1"/>
  <c r="K19" i="1"/>
  <c r="K17" i="1"/>
  <c r="J43" i="1"/>
  <c r="J42" i="1"/>
  <c r="J41" i="1"/>
  <c r="J39" i="1"/>
  <c r="J38" i="1"/>
  <c r="J37" i="1"/>
  <c r="J34" i="1"/>
  <c r="J31" i="1"/>
  <c r="J30" i="1"/>
  <c r="J27" i="1"/>
  <c r="J26" i="1"/>
  <c r="J25" i="1"/>
  <c r="J24" i="1"/>
  <c r="J23" i="1"/>
  <c r="J19" i="1"/>
  <c r="J1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20" i="1"/>
  <c r="I21" i="1"/>
  <c r="I22" i="1"/>
  <c r="I28" i="1"/>
  <c r="I29" i="1"/>
  <c r="I32" i="1"/>
  <c r="I33" i="1"/>
  <c r="I35" i="1"/>
  <c r="I36" i="1"/>
  <c r="I40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<sst xmlns="http://schemas.openxmlformats.org/spreadsheetml/2006/main" count="239" uniqueCount="23">
  <si>
    <t>char1</t>
  </si>
  <si>
    <t>char2</t>
  </si>
  <si>
    <t>Co-Occurances</t>
  </si>
  <si>
    <t>Co-Occurances Cluster</t>
  </si>
  <si>
    <t>Cosine Similarity</t>
  </si>
  <si>
    <t>Cosine Similarity Cluster</t>
  </si>
  <si>
    <t>acrobat</t>
  </si>
  <si>
    <t>netta</t>
  </si>
  <si>
    <t>annemarie</t>
  </si>
  <si>
    <t>ivria</t>
  </si>
  <si>
    <t>arik</t>
  </si>
  <si>
    <t>ralph</t>
  </si>
  <si>
    <t>duby</t>
  </si>
  <si>
    <t>lisa</t>
  </si>
  <si>
    <t>avigail</t>
  </si>
  <si>
    <t>nakdimon</t>
  </si>
  <si>
    <t>patron</t>
  </si>
  <si>
    <t>yoel</t>
  </si>
  <si>
    <t>Manual Counting</t>
  </si>
  <si>
    <t>CoOc minus Cosine</t>
  </si>
  <si>
    <t>CoOc minus Manual</t>
  </si>
  <si>
    <t>Manual Cluster</t>
  </si>
  <si>
    <t>Cosine minus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</si>
</sst>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zoomScale="150" zoomScaleNormal="150" workbookViewId="0">
      <selection activeCell="E1" activeCellId="3" sqref="A1:A1048576 B1:B1048576 C1:C1048576 E1:E1048576"/>
    </sheetView>
  </sheetViews>
  <sheetFormatPr baseColWidth="10" defaultRowHeight="16" x14ac:dyDescent="0.2"/>
  <cols>
    <col min="3" max="3" width="14" bestFit="1" customWidth="1"/>
    <col min="4" max="4" width="20.5" bestFit="1" customWidth="1"/>
    <col min="5" max="5" width="14.83203125" bestFit="1" customWidth="1"/>
    <col min="6" max="6" width="21.5" bestFit="1" customWidth="1"/>
    <col min="7" max="7" width="14.83203125" bestFit="1" customWidth="1"/>
    <col min="8" max="8" width="17.1640625" bestFit="1" customWidth="1"/>
    <col min="9" max="10" width="17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21</v>
      </c>
      <c r="I1" t="s">
        <v>19</v>
      </c>
      <c r="J1" t="s">
        <v>20</v>
      </c>
      <c r="K1" t="s">
        <v>22</v>
      </c>
    </row>
    <row r="2" spans="1:15" x14ac:dyDescent="0.2">
      <c r="A2" t="s">
        <v>6</v>
      </c>
      <c r="B2" t="s">
        <v>7</v>
      </c>
      <c r="C2">
        <v>1</v>
      </c>
      <c r="D2">
        <v>0</v>
      </c>
      <c r="E2">
        <v>0.82281337847644198</v>
      </c>
      <c r="F2">
        <v>3</v>
      </c>
      <c r="G2">
        <v>4</v>
      </c>
      <c r="I2">
        <f>ABS(D2-F2)</f>
        <v>3</v>
      </c>
    </row>
    <row r="3" spans="1:15" x14ac:dyDescent="0.2">
      <c r="A3" t="s">
        <v>8</v>
      </c>
      <c r="B3" t="s">
        <v>9</v>
      </c>
      <c r="C3">
        <v>1</v>
      </c>
      <c r="D3">
        <v>0</v>
      </c>
      <c r="E3">
        <v>0.75036276171045801</v>
      </c>
      <c r="F3">
        <v>2</v>
      </c>
      <c r="G3">
        <v>12</v>
      </c>
      <c r="I3">
        <f>ABS(D3-F3)</f>
        <v>2</v>
      </c>
    </row>
    <row r="4" spans="1:15" x14ac:dyDescent="0.2">
      <c r="A4" t="s">
        <v>7</v>
      </c>
      <c r="B4" t="s">
        <v>11</v>
      </c>
      <c r="C4">
        <v>1</v>
      </c>
      <c r="D4">
        <v>0</v>
      </c>
      <c r="E4">
        <v>0.45229709381364602</v>
      </c>
      <c r="F4">
        <v>1</v>
      </c>
      <c r="G4">
        <v>16</v>
      </c>
      <c r="I4">
        <f>ABS(D4-F4)</f>
        <v>1</v>
      </c>
    </row>
    <row r="5" spans="1:15" x14ac:dyDescent="0.2">
      <c r="A5" t="s">
        <v>8</v>
      </c>
      <c r="B5" t="s">
        <v>12</v>
      </c>
      <c r="C5">
        <v>1</v>
      </c>
      <c r="D5">
        <v>0</v>
      </c>
      <c r="E5">
        <v>-7.9845683044468194E-3</v>
      </c>
      <c r="F5">
        <v>0</v>
      </c>
      <c r="G5">
        <v>5</v>
      </c>
      <c r="I5">
        <f>ABS(D5-F5)</f>
        <v>0</v>
      </c>
    </row>
    <row r="6" spans="1:15" x14ac:dyDescent="0.2">
      <c r="A6" t="s">
        <v>13</v>
      </c>
      <c r="B6" t="s">
        <v>11</v>
      </c>
      <c r="C6">
        <v>1</v>
      </c>
      <c r="D6">
        <v>0</v>
      </c>
      <c r="E6">
        <v>0.44954611881076501</v>
      </c>
      <c r="F6">
        <v>1</v>
      </c>
      <c r="G6">
        <v>17</v>
      </c>
      <c r="I6">
        <f>ABS(D6-F6)</f>
        <v>1</v>
      </c>
    </row>
    <row r="7" spans="1:15" x14ac:dyDescent="0.2">
      <c r="A7" t="s">
        <v>14</v>
      </c>
      <c r="B7" t="s">
        <v>11</v>
      </c>
      <c r="C7">
        <v>1</v>
      </c>
      <c r="D7">
        <v>0</v>
      </c>
      <c r="E7">
        <v>0.45534642347050602</v>
      </c>
      <c r="F7">
        <v>1</v>
      </c>
      <c r="G7">
        <v>11</v>
      </c>
      <c r="I7">
        <f>ABS(D7-F7)</f>
        <v>1</v>
      </c>
    </row>
    <row r="8" spans="1:15" x14ac:dyDescent="0.2">
      <c r="A8" t="s">
        <v>12</v>
      </c>
      <c r="B8" t="s">
        <v>11</v>
      </c>
      <c r="C8">
        <v>1</v>
      </c>
      <c r="D8">
        <v>0</v>
      </c>
      <c r="E8">
        <v>6.0140534915504897E-2</v>
      </c>
      <c r="F8">
        <v>0</v>
      </c>
      <c r="G8">
        <v>6</v>
      </c>
      <c r="I8">
        <f>ABS(D8-F8)</f>
        <v>0</v>
      </c>
    </row>
    <row r="9" spans="1:15" x14ac:dyDescent="0.2">
      <c r="A9" t="s">
        <v>12</v>
      </c>
      <c r="B9" t="s">
        <v>15</v>
      </c>
      <c r="C9">
        <v>1</v>
      </c>
      <c r="D9">
        <v>0</v>
      </c>
      <c r="E9">
        <v>3.4646396218024997E-2</v>
      </c>
      <c r="F9">
        <v>0</v>
      </c>
      <c r="G9">
        <v>2</v>
      </c>
      <c r="I9">
        <f>ABS(D9-F9)</f>
        <v>0</v>
      </c>
    </row>
    <row r="10" spans="1:15" x14ac:dyDescent="0.2">
      <c r="A10" t="s">
        <v>15</v>
      </c>
      <c r="B10" t="s">
        <v>16</v>
      </c>
      <c r="C10">
        <v>2</v>
      </c>
      <c r="D10">
        <v>0</v>
      </c>
      <c r="E10">
        <v>0.98550400298664698</v>
      </c>
      <c r="F10">
        <v>4</v>
      </c>
      <c r="G10">
        <v>5</v>
      </c>
      <c r="I10">
        <f>ABS(D10-F10)</f>
        <v>4</v>
      </c>
      <c r="O10" t="str" cm="1">
        <f t="array" ref="O10:O22">_xlfn.UNIQUE(A:A)</f>
        <v>char1</v>
      </c>
    </row>
    <row r="11" spans="1:15" x14ac:dyDescent="0.2">
      <c r="A11" t="s">
        <v>8</v>
      </c>
      <c r="B11" t="s">
        <v>13</v>
      </c>
      <c r="C11">
        <v>2</v>
      </c>
      <c r="D11">
        <v>0</v>
      </c>
      <c r="E11">
        <v>0.74082713910000497</v>
      </c>
      <c r="F11">
        <v>2</v>
      </c>
      <c r="G11">
        <v>10</v>
      </c>
      <c r="I11">
        <f>ABS(D11-F11)</f>
        <v>2</v>
      </c>
      <c r="O11" t="str">
        <v>acrobat</v>
      </c>
    </row>
    <row r="12" spans="1:15" x14ac:dyDescent="0.2">
      <c r="A12" t="s">
        <v>15</v>
      </c>
      <c r="B12" t="s">
        <v>11</v>
      </c>
      <c r="C12">
        <v>2</v>
      </c>
      <c r="D12">
        <v>0</v>
      </c>
      <c r="E12">
        <v>0.45844559941566398</v>
      </c>
      <c r="F12">
        <v>1</v>
      </c>
      <c r="G12">
        <v>5</v>
      </c>
      <c r="I12">
        <f>ABS(D12-F12)</f>
        <v>1</v>
      </c>
      <c r="O12" t="str">
        <v>annemarie</v>
      </c>
    </row>
    <row r="13" spans="1:15" x14ac:dyDescent="0.2">
      <c r="A13" t="s">
        <v>8</v>
      </c>
      <c r="B13" t="s">
        <v>15</v>
      </c>
      <c r="C13">
        <v>2</v>
      </c>
      <c r="D13">
        <v>0</v>
      </c>
      <c r="E13">
        <v>0.75560369216253698</v>
      </c>
      <c r="F13">
        <v>2</v>
      </c>
      <c r="G13">
        <v>6</v>
      </c>
      <c r="I13">
        <f>ABS(D13-F13)</f>
        <v>2</v>
      </c>
      <c r="O13" t="str">
        <v>netta</v>
      </c>
    </row>
    <row r="14" spans="1:15" x14ac:dyDescent="0.2">
      <c r="A14" t="s">
        <v>8</v>
      </c>
      <c r="B14" t="s">
        <v>14</v>
      </c>
      <c r="C14">
        <v>2</v>
      </c>
      <c r="D14">
        <v>0</v>
      </c>
      <c r="E14">
        <v>0.74696943996731902</v>
      </c>
      <c r="F14">
        <v>2</v>
      </c>
      <c r="G14">
        <v>10</v>
      </c>
      <c r="I14">
        <f>ABS(D14-F14)</f>
        <v>2</v>
      </c>
      <c r="O14" t="str">
        <v>lisa</v>
      </c>
    </row>
    <row r="15" spans="1:15" x14ac:dyDescent="0.2">
      <c r="A15" t="s">
        <v>12</v>
      </c>
      <c r="B15" t="s">
        <v>13</v>
      </c>
      <c r="C15">
        <v>2</v>
      </c>
      <c r="D15">
        <v>0</v>
      </c>
      <c r="E15">
        <v>5.7682096298328198E-2</v>
      </c>
      <c r="F15">
        <v>0</v>
      </c>
      <c r="G15">
        <v>6</v>
      </c>
      <c r="I15">
        <f>ABS(D15-F15)</f>
        <v>0</v>
      </c>
      <c r="O15" t="str">
        <v>avigail</v>
      </c>
    </row>
    <row r="16" spans="1:15" x14ac:dyDescent="0.2">
      <c r="A16" t="s">
        <v>14</v>
      </c>
      <c r="B16" t="s">
        <v>12</v>
      </c>
      <c r="C16">
        <v>2</v>
      </c>
      <c r="D16">
        <v>0</v>
      </c>
      <c r="E16">
        <v>5.3789320203533199E-2</v>
      </c>
      <c r="F16">
        <v>0</v>
      </c>
      <c r="G16">
        <v>6</v>
      </c>
      <c r="I16">
        <f>ABS(D16-F16)</f>
        <v>0</v>
      </c>
      <c r="O16" t="str">
        <v>duby</v>
      </c>
    </row>
    <row r="17" spans="1:15" x14ac:dyDescent="0.2">
      <c r="A17" t="s">
        <v>13</v>
      </c>
      <c r="B17" t="s">
        <v>15</v>
      </c>
      <c r="C17">
        <v>4</v>
      </c>
      <c r="D17">
        <v>0</v>
      </c>
      <c r="E17">
        <v>0.99094277311641998</v>
      </c>
      <c r="F17">
        <v>0</v>
      </c>
      <c r="G17">
        <v>7</v>
      </c>
      <c r="H17">
        <v>0</v>
      </c>
      <c r="I17">
        <f>-(D17-F17)</f>
        <v>0</v>
      </c>
      <c r="J17">
        <f>(D17-H17)</f>
        <v>0</v>
      </c>
      <c r="K17">
        <f>(F17-H17)</f>
        <v>0</v>
      </c>
      <c r="O17" t="str">
        <v>nakdimon</v>
      </c>
    </row>
    <row r="18" spans="1:15" x14ac:dyDescent="0.2">
      <c r="A18" t="s">
        <v>9</v>
      </c>
      <c r="B18" t="s">
        <v>16</v>
      </c>
      <c r="C18">
        <v>4</v>
      </c>
      <c r="D18">
        <v>0</v>
      </c>
      <c r="E18">
        <v>0.987135392273784</v>
      </c>
      <c r="F18">
        <v>4</v>
      </c>
      <c r="G18">
        <v>11</v>
      </c>
      <c r="I18">
        <f>ABS(D18-F18)</f>
        <v>4</v>
      </c>
      <c r="O18" t="str">
        <v>ivria</v>
      </c>
    </row>
    <row r="19" spans="1:15" x14ac:dyDescent="0.2">
      <c r="A19" t="s">
        <v>14</v>
      </c>
      <c r="B19" t="s">
        <v>9</v>
      </c>
      <c r="C19">
        <v>4</v>
      </c>
      <c r="D19">
        <v>0</v>
      </c>
      <c r="E19">
        <v>0.99672199319995503</v>
      </c>
      <c r="F19">
        <v>3</v>
      </c>
      <c r="G19">
        <v>20</v>
      </c>
      <c r="H19">
        <v>1</v>
      </c>
      <c r="I19">
        <f>-(D19-F19)</f>
        <v>3</v>
      </c>
      <c r="J19">
        <f>(D19-H19)</f>
        <v>-1</v>
      </c>
      <c r="K19">
        <f>(F19-H19)</f>
        <v>2</v>
      </c>
      <c r="O19" t="str">
        <v>patron</v>
      </c>
    </row>
    <row r="20" spans="1:15" x14ac:dyDescent="0.2">
      <c r="A20" t="s">
        <v>8</v>
      </c>
      <c r="B20" t="s">
        <v>7</v>
      </c>
      <c r="C20">
        <v>5</v>
      </c>
      <c r="D20">
        <v>0</v>
      </c>
      <c r="E20">
        <v>0.75635848907389802</v>
      </c>
      <c r="F20">
        <v>2</v>
      </c>
      <c r="G20">
        <v>15</v>
      </c>
      <c r="I20">
        <f>ABS(D20-F20)</f>
        <v>2</v>
      </c>
      <c r="O20" t="str">
        <v>arik</v>
      </c>
    </row>
    <row r="21" spans="1:15" x14ac:dyDescent="0.2">
      <c r="A21" t="s">
        <v>7</v>
      </c>
      <c r="B21" t="s">
        <v>16</v>
      </c>
      <c r="C21">
        <v>6</v>
      </c>
      <c r="D21">
        <v>0</v>
      </c>
      <c r="E21">
        <v>0.98702316223784103</v>
      </c>
      <c r="F21">
        <v>4</v>
      </c>
      <c r="G21">
        <v>17</v>
      </c>
      <c r="I21">
        <f>ABS(D21-F21)</f>
        <v>4</v>
      </c>
      <c r="O21" t="str">
        <v>ralph</v>
      </c>
    </row>
    <row r="22" spans="1:15" x14ac:dyDescent="0.2">
      <c r="A22" t="s">
        <v>6</v>
      </c>
      <c r="B22" t="s">
        <v>16</v>
      </c>
      <c r="C22">
        <v>6</v>
      </c>
      <c r="D22">
        <v>0</v>
      </c>
      <c r="E22">
        <v>0.81412593606651296</v>
      </c>
      <c r="F22">
        <v>3</v>
      </c>
      <c r="G22">
        <v>4</v>
      </c>
      <c r="I22">
        <f>ABS(D22-F22)</f>
        <v>3</v>
      </c>
      <c r="O22">
        <v>0</v>
      </c>
    </row>
    <row r="23" spans="1:15" x14ac:dyDescent="0.2">
      <c r="A23" t="s">
        <v>9</v>
      </c>
      <c r="B23" t="s">
        <v>15</v>
      </c>
      <c r="C23">
        <v>10</v>
      </c>
      <c r="D23">
        <v>1</v>
      </c>
      <c r="E23">
        <v>0.99730102600680304</v>
      </c>
      <c r="F23">
        <v>3</v>
      </c>
      <c r="G23">
        <v>10</v>
      </c>
      <c r="H23">
        <v>0</v>
      </c>
      <c r="I23">
        <f t="shared" ref="I23:I27" si="0">-(D23-F23)</f>
        <v>2</v>
      </c>
      <c r="J23">
        <f t="shared" ref="J23:J27" si="1">(D23-H23)</f>
        <v>1</v>
      </c>
      <c r="K23">
        <f t="shared" ref="K23:K27" si="2">(F23-H23)</f>
        <v>3</v>
      </c>
    </row>
    <row r="24" spans="1:15" x14ac:dyDescent="0.2">
      <c r="A24" t="s">
        <v>9</v>
      </c>
      <c r="B24" t="s">
        <v>13</v>
      </c>
      <c r="C24">
        <v>11</v>
      </c>
      <c r="D24">
        <v>1</v>
      </c>
      <c r="E24">
        <v>0.99452541163085195</v>
      </c>
      <c r="F24">
        <v>2</v>
      </c>
      <c r="G24">
        <v>21</v>
      </c>
      <c r="H24">
        <v>1</v>
      </c>
      <c r="I24">
        <f t="shared" si="0"/>
        <v>1</v>
      </c>
      <c r="J24">
        <f t="shared" si="1"/>
        <v>0</v>
      </c>
      <c r="K24">
        <f t="shared" si="2"/>
        <v>1</v>
      </c>
    </row>
    <row r="25" spans="1:15" x14ac:dyDescent="0.2">
      <c r="A25" t="s">
        <v>14</v>
      </c>
      <c r="B25" t="s">
        <v>15</v>
      </c>
      <c r="C25">
        <v>11</v>
      </c>
      <c r="D25">
        <v>1</v>
      </c>
      <c r="E25">
        <v>0.99427084087367901</v>
      </c>
      <c r="F25">
        <v>2</v>
      </c>
      <c r="G25">
        <v>7</v>
      </c>
      <c r="H25">
        <v>0</v>
      </c>
      <c r="I25">
        <f t="shared" si="0"/>
        <v>1</v>
      </c>
      <c r="J25">
        <f t="shared" si="1"/>
        <v>1</v>
      </c>
      <c r="K25">
        <f t="shared" si="2"/>
        <v>2</v>
      </c>
    </row>
    <row r="26" spans="1:15" x14ac:dyDescent="0.2">
      <c r="A26" t="s">
        <v>15</v>
      </c>
      <c r="B26" t="s">
        <v>7</v>
      </c>
      <c r="C26">
        <v>14</v>
      </c>
      <c r="D26">
        <v>1</v>
      </c>
      <c r="E26">
        <v>0.99647808221021705</v>
      </c>
      <c r="F26">
        <v>3</v>
      </c>
      <c r="G26">
        <v>9</v>
      </c>
      <c r="H26">
        <v>0</v>
      </c>
      <c r="I26">
        <f t="shared" si="0"/>
        <v>2</v>
      </c>
      <c r="J26">
        <f t="shared" si="1"/>
        <v>1</v>
      </c>
      <c r="K26">
        <f t="shared" si="2"/>
        <v>3</v>
      </c>
    </row>
    <row r="27" spans="1:15" x14ac:dyDescent="0.2">
      <c r="A27" t="s">
        <v>13</v>
      </c>
      <c r="B27" t="s">
        <v>7</v>
      </c>
      <c r="C27">
        <v>15</v>
      </c>
      <c r="D27">
        <v>1</v>
      </c>
      <c r="E27">
        <v>0.99387139186396001</v>
      </c>
      <c r="F27">
        <v>2</v>
      </c>
      <c r="G27">
        <v>27</v>
      </c>
      <c r="H27">
        <v>4</v>
      </c>
      <c r="I27">
        <f t="shared" si="0"/>
        <v>1</v>
      </c>
      <c r="J27">
        <f t="shared" si="1"/>
        <v>-3</v>
      </c>
      <c r="K27">
        <f t="shared" si="2"/>
        <v>-2</v>
      </c>
    </row>
    <row r="28" spans="1:15" x14ac:dyDescent="0.2">
      <c r="A28" t="s">
        <v>8</v>
      </c>
      <c r="B28" t="s">
        <v>11</v>
      </c>
      <c r="C28">
        <v>16</v>
      </c>
      <c r="D28">
        <v>1</v>
      </c>
      <c r="E28">
        <v>0.35851062542703799</v>
      </c>
      <c r="F28">
        <v>1</v>
      </c>
      <c r="G28">
        <v>15</v>
      </c>
      <c r="I28">
        <f>ABS(D28-F28)</f>
        <v>0</v>
      </c>
    </row>
    <row r="29" spans="1:15" x14ac:dyDescent="0.2">
      <c r="A29" t="s">
        <v>12</v>
      </c>
      <c r="B29" t="s">
        <v>7</v>
      </c>
      <c r="C29">
        <v>16</v>
      </c>
      <c r="D29">
        <v>1</v>
      </c>
      <c r="E29">
        <v>4.0277845640193301E-2</v>
      </c>
      <c r="F29">
        <v>0</v>
      </c>
      <c r="G29">
        <v>8</v>
      </c>
      <c r="I29">
        <f>ABS(D29-F29)</f>
        <v>1</v>
      </c>
    </row>
    <row r="30" spans="1:15" x14ac:dyDescent="0.2">
      <c r="A30" t="s">
        <v>14</v>
      </c>
      <c r="B30" t="s">
        <v>7</v>
      </c>
      <c r="C30">
        <v>19</v>
      </c>
      <c r="D30">
        <v>1</v>
      </c>
      <c r="E30">
        <v>0.99685332624040801</v>
      </c>
      <c r="F30">
        <v>3</v>
      </c>
      <c r="G30">
        <v>26</v>
      </c>
      <c r="H30">
        <v>2</v>
      </c>
      <c r="I30">
        <f t="shared" ref="I30:I31" si="3">-(D30-F30)</f>
        <v>2</v>
      </c>
      <c r="J30">
        <f t="shared" ref="J30:J31" si="4">(D30-H30)</f>
        <v>-1</v>
      </c>
      <c r="K30">
        <f t="shared" ref="K30:K31" si="5">(F30-H30)</f>
        <v>1</v>
      </c>
    </row>
    <row r="31" spans="1:15" x14ac:dyDescent="0.2">
      <c r="A31" t="s">
        <v>13</v>
      </c>
      <c r="B31" t="s">
        <v>17</v>
      </c>
      <c r="C31">
        <v>21</v>
      </c>
      <c r="D31">
        <v>1</v>
      </c>
      <c r="E31">
        <v>0.99425674759992699</v>
      </c>
      <c r="F31">
        <v>2</v>
      </c>
      <c r="G31">
        <v>29</v>
      </c>
      <c r="H31">
        <v>3</v>
      </c>
      <c r="I31">
        <f t="shared" si="3"/>
        <v>1</v>
      </c>
      <c r="J31">
        <f t="shared" si="4"/>
        <v>-2</v>
      </c>
      <c r="K31">
        <f t="shared" si="5"/>
        <v>-1</v>
      </c>
    </row>
    <row r="32" spans="1:15" x14ac:dyDescent="0.2">
      <c r="A32" t="s">
        <v>12</v>
      </c>
      <c r="B32" t="s">
        <v>17</v>
      </c>
      <c r="C32">
        <v>23</v>
      </c>
      <c r="D32">
        <v>1</v>
      </c>
      <c r="E32">
        <v>4.0905686570704702E-2</v>
      </c>
      <c r="F32">
        <v>0</v>
      </c>
      <c r="G32">
        <v>8</v>
      </c>
      <c r="I32">
        <f>ABS(D32-F32)</f>
        <v>1</v>
      </c>
    </row>
    <row r="33" spans="1:11" x14ac:dyDescent="0.2">
      <c r="A33" t="s">
        <v>6</v>
      </c>
      <c r="B33" t="s">
        <v>17</v>
      </c>
      <c r="C33">
        <v>25</v>
      </c>
      <c r="D33">
        <v>2</v>
      </c>
      <c r="E33">
        <v>0.81850281031251004</v>
      </c>
      <c r="F33">
        <v>3</v>
      </c>
      <c r="G33">
        <v>5</v>
      </c>
      <c r="I33">
        <f>ABS(D33-F33)</f>
        <v>1</v>
      </c>
    </row>
    <row r="34" spans="1:11" x14ac:dyDescent="0.2">
      <c r="A34" t="s">
        <v>15</v>
      </c>
      <c r="B34" t="s">
        <v>17</v>
      </c>
      <c r="C34">
        <v>27</v>
      </c>
      <c r="D34">
        <v>2</v>
      </c>
      <c r="E34">
        <v>0.99729659760969602</v>
      </c>
      <c r="F34">
        <v>3</v>
      </c>
      <c r="G34">
        <v>11</v>
      </c>
      <c r="H34">
        <v>0</v>
      </c>
      <c r="I34">
        <f>-(D34-F34)</f>
        <v>1</v>
      </c>
      <c r="J34">
        <f>(D34-H34)</f>
        <v>2</v>
      </c>
      <c r="K34">
        <f>(F34-H34)</f>
        <v>3</v>
      </c>
    </row>
    <row r="35" spans="1:11" x14ac:dyDescent="0.2">
      <c r="A35" t="s">
        <v>16</v>
      </c>
      <c r="B35" t="s">
        <v>17</v>
      </c>
      <c r="C35">
        <v>31</v>
      </c>
      <c r="D35">
        <v>2</v>
      </c>
      <c r="E35">
        <v>0.98769271151299398</v>
      </c>
      <c r="F35">
        <v>4</v>
      </c>
      <c r="G35">
        <v>19</v>
      </c>
      <c r="I35">
        <f>ABS(D35-F35)</f>
        <v>2</v>
      </c>
    </row>
    <row r="36" spans="1:11" x14ac:dyDescent="0.2">
      <c r="A36" t="s">
        <v>8</v>
      </c>
      <c r="B36" t="s">
        <v>17</v>
      </c>
      <c r="C36">
        <v>31</v>
      </c>
      <c r="D36">
        <v>2</v>
      </c>
      <c r="E36">
        <v>0.75323567310405004</v>
      </c>
      <c r="F36">
        <v>2</v>
      </c>
      <c r="G36">
        <v>16</v>
      </c>
      <c r="I36">
        <f>ABS(D36-F36)</f>
        <v>0</v>
      </c>
    </row>
    <row r="37" spans="1:11" x14ac:dyDescent="0.2">
      <c r="A37" t="s">
        <v>14</v>
      </c>
      <c r="B37" t="s">
        <v>17</v>
      </c>
      <c r="C37">
        <v>36</v>
      </c>
      <c r="D37">
        <v>2</v>
      </c>
      <c r="E37">
        <v>0.99715990203768101</v>
      </c>
      <c r="F37">
        <v>3</v>
      </c>
      <c r="G37">
        <v>27</v>
      </c>
      <c r="H37">
        <v>2</v>
      </c>
      <c r="I37">
        <f t="shared" ref="I37:I39" si="6">-(D37-F37)</f>
        <v>1</v>
      </c>
      <c r="J37">
        <f t="shared" ref="J37:J39" si="7">(D37-H37)</f>
        <v>0</v>
      </c>
      <c r="K37">
        <f t="shared" ref="K37:K39" si="8">(F37-H37)</f>
        <v>1</v>
      </c>
    </row>
    <row r="38" spans="1:11" x14ac:dyDescent="0.2">
      <c r="A38" t="s">
        <v>9</v>
      </c>
      <c r="B38" t="s">
        <v>7</v>
      </c>
      <c r="C38">
        <v>37</v>
      </c>
      <c r="D38">
        <v>2</v>
      </c>
      <c r="E38">
        <v>0.99895833391410904</v>
      </c>
      <c r="F38">
        <v>4</v>
      </c>
      <c r="G38">
        <v>31</v>
      </c>
      <c r="H38">
        <v>3</v>
      </c>
      <c r="I38">
        <f t="shared" si="6"/>
        <v>2</v>
      </c>
      <c r="J38">
        <f t="shared" si="7"/>
        <v>-1</v>
      </c>
      <c r="K38">
        <f t="shared" si="8"/>
        <v>1</v>
      </c>
    </row>
    <row r="39" spans="1:11" x14ac:dyDescent="0.2">
      <c r="A39" t="s">
        <v>10</v>
      </c>
      <c r="B39" t="s">
        <v>17</v>
      </c>
      <c r="C39">
        <v>38</v>
      </c>
      <c r="D39">
        <v>2</v>
      </c>
      <c r="E39">
        <v>0.997971085695188</v>
      </c>
      <c r="F39">
        <v>3</v>
      </c>
      <c r="G39">
        <v>42</v>
      </c>
      <c r="H39">
        <v>4</v>
      </c>
      <c r="I39">
        <f t="shared" si="6"/>
        <v>1</v>
      </c>
      <c r="J39">
        <f t="shared" si="7"/>
        <v>-2</v>
      </c>
      <c r="K39">
        <f t="shared" si="8"/>
        <v>-1</v>
      </c>
    </row>
    <row r="40" spans="1:11" x14ac:dyDescent="0.2">
      <c r="A40" t="s">
        <v>11</v>
      </c>
      <c r="B40" t="s">
        <v>17</v>
      </c>
      <c r="C40">
        <v>39</v>
      </c>
      <c r="D40">
        <v>2</v>
      </c>
      <c r="E40">
        <v>0.45293662672603102</v>
      </c>
      <c r="F40">
        <v>1</v>
      </c>
      <c r="G40">
        <v>17</v>
      </c>
      <c r="I40">
        <f>ABS(D40-F40)</f>
        <v>1</v>
      </c>
    </row>
    <row r="41" spans="1:11" x14ac:dyDescent="0.2">
      <c r="A41" t="s">
        <v>14</v>
      </c>
      <c r="B41" t="s">
        <v>13</v>
      </c>
      <c r="C41">
        <v>45</v>
      </c>
      <c r="D41">
        <v>2</v>
      </c>
      <c r="E41">
        <v>0.99188154374577098</v>
      </c>
      <c r="F41">
        <v>0</v>
      </c>
      <c r="G41">
        <v>27</v>
      </c>
      <c r="H41">
        <v>2</v>
      </c>
      <c r="I41">
        <f t="shared" ref="I41:I43" si="9">-(D41-F41)</f>
        <v>-2</v>
      </c>
      <c r="J41">
        <f t="shared" ref="J41:J43" si="10">(D41-H41)</f>
        <v>0</v>
      </c>
      <c r="K41">
        <f t="shared" ref="K41:K43" si="11">(F41-H41)</f>
        <v>-2</v>
      </c>
    </row>
    <row r="42" spans="1:11" x14ac:dyDescent="0.2">
      <c r="A42" t="s">
        <v>9</v>
      </c>
      <c r="B42" t="s">
        <v>17</v>
      </c>
      <c r="C42">
        <v>70</v>
      </c>
      <c r="D42">
        <v>3</v>
      </c>
      <c r="E42">
        <v>0.99933465930751997</v>
      </c>
      <c r="F42">
        <v>4</v>
      </c>
      <c r="G42">
        <v>33</v>
      </c>
      <c r="H42">
        <v>3</v>
      </c>
      <c r="I42">
        <f t="shared" si="9"/>
        <v>1</v>
      </c>
      <c r="J42">
        <f t="shared" si="10"/>
        <v>0</v>
      </c>
      <c r="K42">
        <f t="shared" si="11"/>
        <v>1</v>
      </c>
    </row>
    <row r="43" spans="1:11" x14ac:dyDescent="0.2">
      <c r="A43" t="s">
        <v>7</v>
      </c>
      <c r="B43" t="s">
        <v>17</v>
      </c>
      <c r="C43">
        <v>97</v>
      </c>
      <c r="D43">
        <v>4</v>
      </c>
      <c r="E43">
        <v>0.99895220522055195</v>
      </c>
      <c r="F43">
        <v>4</v>
      </c>
      <c r="G43">
        <v>42</v>
      </c>
      <c r="H43">
        <v>4</v>
      </c>
      <c r="I43">
        <f t="shared" si="9"/>
        <v>0</v>
      </c>
      <c r="J43">
        <f t="shared" si="10"/>
        <v>0</v>
      </c>
      <c r="K43">
        <f t="shared" si="11"/>
        <v>0</v>
      </c>
    </row>
    <row r="44" spans="1:11" x14ac:dyDescent="0.2">
      <c r="A44" t="s">
        <v>16</v>
      </c>
      <c r="B44" t="s">
        <v>12</v>
      </c>
      <c r="C44">
        <v>0</v>
      </c>
      <c r="D44">
        <v>3</v>
      </c>
      <c r="E44">
        <v>3.68911927897018E-2</v>
      </c>
      <c r="F44">
        <v>0</v>
      </c>
      <c r="G44">
        <v>2</v>
      </c>
      <c r="H44">
        <f t="shared" ref="H3:H57" si="12">ABS(D44-F44)</f>
        <v>3</v>
      </c>
    </row>
    <row r="45" spans="1:11" x14ac:dyDescent="0.2">
      <c r="A45" t="s">
        <v>9</v>
      </c>
      <c r="B45" t="s">
        <v>12</v>
      </c>
      <c r="C45">
        <v>0</v>
      </c>
      <c r="D45">
        <v>3</v>
      </c>
      <c r="E45">
        <v>4.5899016649685299E-2</v>
      </c>
      <c r="F45">
        <v>0</v>
      </c>
      <c r="G45">
        <v>6</v>
      </c>
      <c r="H45">
        <f t="shared" si="12"/>
        <v>3</v>
      </c>
    </row>
    <row r="46" spans="1:11" x14ac:dyDescent="0.2">
      <c r="A46" t="s">
        <v>6</v>
      </c>
      <c r="B46" t="s">
        <v>11</v>
      </c>
      <c r="C46">
        <v>0</v>
      </c>
      <c r="D46">
        <v>3</v>
      </c>
      <c r="E46">
        <v>0.43243722257477102</v>
      </c>
      <c r="F46">
        <v>1</v>
      </c>
      <c r="G46">
        <v>2</v>
      </c>
      <c r="H46">
        <f t="shared" si="12"/>
        <v>2</v>
      </c>
    </row>
    <row r="47" spans="1:11" x14ac:dyDescent="0.2">
      <c r="A47" t="s">
        <v>16</v>
      </c>
      <c r="B47" t="s">
        <v>11</v>
      </c>
      <c r="C47">
        <v>0</v>
      </c>
      <c r="D47">
        <v>3</v>
      </c>
      <c r="E47">
        <v>0.43909959035877999</v>
      </c>
      <c r="F47">
        <v>1</v>
      </c>
      <c r="G47">
        <v>8</v>
      </c>
      <c r="H47">
        <f t="shared" si="12"/>
        <v>2</v>
      </c>
    </row>
    <row r="48" spans="1:11" x14ac:dyDescent="0.2">
      <c r="A48" t="s">
        <v>9</v>
      </c>
      <c r="B48" t="s">
        <v>11</v>
      </c>
      <c r="C48">
        <v>0</v>
      </c>
      <c r="D48">
        <v>3</v>
      </c>
      <c r="E48">
        <v>0.45629618103424702</v>
      </c>
      <c r="F48">
        <v>1</v>
      </c>
      <c r="G48">
        <v>13</v>
      </c>
      <c r="H48">
        <f t="shared" si="12"/>
        <v>2</v>
      </c>
    </row>
    <row r="49" spans="1:8" x14ac:dyDescent="0.2">
      <c r="A49" t="s">
        <v>6</v>
      </c>
      <c r="B49" t="s">
        <v>8</v>
      </c>
      <c r="C49">
        <v>0</v>
      </c>
      <c r="D49">
        <v>3</v>
      </c>
      <c r="E49">
        <v>0.62475009616506405</v>
      </c>
      <c r="F49">
        <v>2</v>
      </c>
      <c r="G49">
        <v>2</v>
      </c>
      <c r="H49">
        <f t="shared" si="12"/>
        <v>1</v>
      </c>
    </row>
    <row r="50" spans="1:8" x14ac:dyDescent="0.2">
      <c r="A50" t="s">
        <v>16</v>
      </c>
      <c r="B50" t="s">
        <v>8</v>
      </c>
      <c r="C50">
        <v>0</v>
      </c>
      <c r="D50">
        <v>3</v>
      </c>
      <c r="E50">
        <v>0.75685222851240896</v>
      </c>
      <c r="F50">
        <v>2</v>
      </c>
      <c r="G50">
        <v>7</v>
      </c>
      <c r="H50">
        <f t="shared" si="12"/>
        <v>1</v>
      </c>
    </row>
    <row r="51" spans="1:8" x14ac:dyDescent="0.2">
      <c r="A51" t="s">
        <v>15</v>
      </c>
      <c r="B51" t="s">
        <v>6</v>
      </c>
      <c r="C51">
        <v>0</v>
      </c>
      <c r="D51">
        <v>3</v>
      </c>
      <c r="E51">
        <v>0.81500476323093296</v>
      </c>
      <c r="F51">
        <v>3</v>
      </c>
      <c r="G51">
        <v>1</v>
      </c>
      <c r="H51">
        <f t="shared" si="12"/>
        <v>0</v>
      </c>
    </row>
    <row r="52" spans="1:8" x14ac:dyDescent="0.2">
      <c r="A52" t="s">
        <v>13</v>
      </c>
      <c r="B52" t="s">
        <v>6</v>
      </c>
      <c r="C52">
        <v>0</v>
      </c>
      <c r="D52">
        <v>3</v>
      </c>
      <c r="E52">
        <v>0.81642656227258903</v>
      </c>
      <c r="F52">
        <v>3</v>
      </c>
      <c r="G52">
        <v>1</v>
      </c>
      <c r="H52">
        <f t="shared" si="12"/>
        <v>0</v>
      </c>
    </row>
    <row r="53" spans="1:8" x14ac:dyDescent="0.2">
      <c r="A53" t="s">
        <v>9</v>
      </c>
      <c r="B53" t="s">
        <v>6</v>
      </c>
      <c r="C53">
        <v>0</v>
      </c>
      <c r="D53">
        <v>3</v>
      </c>
      <c r="E53">
        <v>0.81772346417870501</v>
      </c>
      <c r="F53">
        <v>3</v>
      </c>
      <c r="G53">
        <v>3</v>
      </c>
      <c r="H53">
        <f t="shared" si="12"/>
        <v>0</v>
      </c>
    </row>
    <row r="54" spans="1:8" x14ac:dyDescent="0.2">
      <c r="A54" t="s">
        <v>14</v>
      </c>
      <c r="B54" t="s">
        <v>6</v>
      </c>
      <c r="C54">
        <v>0</v>
      </c>
      <c r="D54">
        <v>3</v>
      </c>
      <c r="E54">
        <v>0.820031205147294</v>
      </c>
      <c r="F54">
        <v>3</v>
      </c>
      <c r="G54">
        <v>1</v>
      </c>
      <c r="H54">
        <f t="shared" si="12"/>
        <v>0</v>
      </c>
    </row>
    <row r="55" spans="1:8" x14ac:dyDescent="0.2">
      <c r="A55" t="s">
        <v>10</v>
      </c>
      <c r="B55" t="s">
        <v>6</v>
      </c>
      <c r="C55">
        <v>0</v>
      </c>
      <c r="D55">
        <v>3</v>
      </c>
      <c r="E55">
        <v>0.82071266310996505</v>
      </c>
      <c r="F55">
        <v>3</v>
      </c>
      <c r="G55">
        <v>11</v>
      </c>
      <c r="H55">
        <f t="shared" si="12"/>
        <v>0</v>
      </c>
    </row>
    <row r="56" spans="1:8" x14ac:dyDescent="0.2">
      <c r="A56" t="s">
        <v>16</v>
      </c>
      <c r="B56" t="s">
        <v>13</v>
      </c>
      <c r="C56">
        <v>0</v>
      </c>
      <c r="D56">
        <v>3</v>
      </c>
      <c r="E56">
        <v>0.98237208052437397</v>
      </c>
      <c r="F56">
        <v>4</v>
      </c>
      <c r="G56">
        <v>11</v>
      </c>
      <c r="H56">
        <f t="shared" si="12"/>
        <v>1</v>
      </c>
    </row>
    <row r="57" spans="1:8" x14ac:dyDescent="0.2">
      <c r="A57" t="s">
        <v>14</v>
      </c>
      <c r="B57" t="s">
        <v>16</v>
      </c>
      <c r="C57">
        <v>0</v>
      </c>
      <c r="D57">
        <v>3</v>
      </c>
      <c r="E57">
        <v>0.984427412049801</v>
      </c>
      <c r="F57">
        <v>4</v>
      </c>
      <c r="G57">
        <v>10</v>
      </c>
      <c r="H57">
        <f t="shared" si="12"/>
        <v>1</v>
      </c>
    </row>
  </sheetData>
  <autoFilter ref="A1:B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DC27-9E8F-7E4A-A256-E651B453C202}">
  <dimension ref="A1:D57"/>
  <sheetViews>
    <sheetView tabSelected="1" workbookViewId="0">
      <selection activeCell="A39" sqref="A39"/>
    </sheetView>
  </sheetViews>
  <sheetFormatPr baseColWidth="10" defaultRowHeight="16" x14ac:dyDescent="0.2"/>
  <cols>
    <col min="3" max="3" width="14" bestFit="1" customWidth="1"/>
    <col min="4" max="4" width="14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t="s">
        <v>6</v>
      </c>
      <c r="B2" t="s">
        <v>7</v>
      </c>
      <c r="C2">
        <v>1</v>
      </c>
      <c r="D2">
        <v>0.82281337847644198</v>
      </c>
    </row>
    <row r="3" spans="1:4" x14ac:dyDescent="0.2">
      <c r="A3" t="s">
        <v>8</v>
      </c>
      <c r="B3" t="s">
        <v>9</v>
      </c>
      <c r="C3">
        <v>1</v>
      </c>
      <c r="D3">
        <v>0.75036276171045801</v>
      </c>
    </row>
    <row r="4" spans="1:4" x14ac:dyDescent="0.2">
      <c r="A4" t="s">
        <v>7</v>
      </c>
      <c r="B4" t="s">
        <v>11</v>
      </c>
      <c r="C4">
        <v>1</v>
      </c>
      <c r="D4">
        <v>0.45229709381364602</v>
      </c>
    </row>
    <row r="5" spans="1:4" x14ac:dyDescent="0.2">
      <c r="A5" t="s">
        <v>8</v>
      </c>
      <c r="B5" t="s">
        <v>12</v>
      </c>
      <c r="C5">
        <v>1</v>
      </c>
      <c r="D5">
        <v>-7.9845683044468194E-3</v>
      </c>
    </row>
    <row r="6" spans="1:4" x14ac:dyDescent="0.2">
      <c r="A6" t="s">
        <v>13</v>
      </c>
      <c r="B6" t="s">
        <v>11</v>
      </c>
      <c r="C6">
        <v>1</v>
      </c>
      <c r="D6">
        <v>0.44954611881076501</v>
      </c>
    </row>
    <row r="7" spans="1:4" x14ac:dyDescent="0.2">
      <c r="A7" t="s">
        <v>14</v>
      </c>
      <c r="B7" t="s">
        <v>11</v>
      </c>
      <c r="C7">
        <v>1</v>
      </c>
      <c r="D7">
        <v>0.45534642347050602</v>
      </c>
    </row>
    <row r="8" spans="1:4" x14ac:dyDescent="0.2">
      <c r="A8" t="s">
        <v>12</v>
      </c>
      <c r="B8" t="s">
        <v>11</v>
      </c>
      <c r="C8">
        <v>1</v>
      </c>
      <c r="D8">
        <v>6.0140534915504897E-2</v>
      </c>
    </row>
    <row r="9" spans="1:4" x14ac:dyDescent="0.2">
      <c r="A9" t="s">
        <v>12</v>
      </c>
      <c r="B9" t="s">
        <v>15</v>
      </c>
      <c r="C9">
        <v>1</v>
      </c>
      <c r="D9">
        <v>3.4646396218024997E-2</v>
      </c>
    </row>
    <row r="10" spans="1:4" x14ac:dyDescent="0.2">
      <c r="A10" t="s">
        <v>15</v>
      </c>
      <c r="B10" t="s">
        <v>16</v>
      </c>
      <c r="C10">
        <v>2</v>
      </c>
      <c r="D10">
        <v>0.98550400298664698</v>
      </c>
    </row>
    <row r="11" spans="1:4" x14ac:dyDescent="0.2">
      <c r="A11" t="s">
        <v>8</v>
      </c>
      <c r="B11" t="s">
        <v>13</v>
      </c>
      <c r="C11">
        <v>2</v>
      </c>
      <c r="D11">
        <v>0.74082713910000497</v>
      </c>
    </row>
    <row r="12" spans="1:4" x14ac:dyDescent="0.2">
      <c r="A12" t="s">
        <v>15</v>
      </c>
      <c r="B12" t="s">
        <v>11</v>
      </c>
      <c r="C12">
        <v>2</v>
      </c>
      <c r="D12">
        <v>0.45844559941566398</v>
      </c>
    </row>
    <row r="13" spans="1:4" x14ac:dyDescent="0.2">
      <c r="A13" t="s">
        <v>8</v>
      </c>
      <c r="B13" t="s">
        <v>15</v>
      </c>
      <c r="C13">
        <v>2</v>
      </c>
      <c r="D13">
        <v>0.75560369216253698</v>
      </c>
    </row>
    <row r="14" spans="1:4" x14ac:dyDescent="0.2">
      <c r="A14" t="s">
        <v>8</v>
      </c>
      <c r="B14" t="s">
        <v>14</v>
      </c>
      <c r="C14">
        <v>2</v>
      </c>
      <c r="D14">
        <v>0.74696943996731902</v>
      </c>
    </row>
    <row r="15" spans="1:4" x14ac:dyDescent="0.2">
      <c r="A15" t="s">
        <v>12</v>
      </c>
      <c r="B15" t="s">
        <v>13</v>
      </c>
      <c r="C15">
        <v>2</v>
      </c>
      <c r="D15">
        <v>5.7682096298328198E-2</v>
      </c>
    </row>
    <row r="16" spans="1:4" x14ac:dyDescent="0.2">
      <c r="A16" t="s">
        <v>14</v>
      </c>
      <c r="B16" t="s">
        <v>12</v>
      </c>
      <c r="C16">
        <v>2</v>
      </c>
      <c r="D16">
        <v>5.3789320203533199E-2</v>
      </c>
    </row>
    <row r="17" spans="1:4" x14ac:dyDescent="0.2">
      <c r="A17" t="s">
        <v>13</v>
      </c>
      <c r="B17" t="s">
        <v>15</v>
      </c>
      <c r="C17">
        <v>4</v>
      </c>
      <c r="D17">
        <v>0.99094277311641998</v>
      </c>
    </row>
    <row r="18" spans="1:4" x14ac:dyDescent="0.2">
      <c r="A18" t="s">
        <v>9</v>
      </c>
      <c r="B18" t="s">
        <v>16</v>
      </c>
      <c r="C18">
        <v>4</v>
      </c>
      <c r="D18">
        <v>0.987135392273784</v>
      </c>
    </row>
    <row r="19" spans="1:4" x14ac:dyDescent="0.2">
      <c r="A19" t="s">
        <v>14</v>
      </c>
      <c r="B19" t="s">
        <v>9</v>
      </c>
      <c r="C19">
        <v>4</v>
      </c>
      <c r="D19">
        <v>0.99672199319995503</v>
      </c>
    </row>
    <row r="20" spans="1:4" x14ac:dyDescent="0.2">
      <c r="A20" t="s">
        <v>8</v>
      </c>
      <c r="B20" t="s">
        <v>7</v>
      </c>
      <c r="C20">
        <v>5</v>
      </c>
      <c r="D20">
        <v>0.75635848907389802</v>
      </c>
    </row>
    <row r="21" spans="1:4" x14ac:dyDescent="0.2">
      <c r="A21" t="s">
        <v>7</v>
      </c>
      <c r="B21" t="s">
        <v>16</v>
      </c>
      <c r="C21">
        <v>6</v>
      </c>
      <c r="D21">
        <v>0.98702316223784103</v>
      </c>
    </row>
    <row r="22" spans="1:4" x14ac:dyDescent="0.2">
      <c r="A22" t="s">
        <v>6</v>
      </c>
      <c r="B22" t="s">
        <v>16</v>
      </c>
      <c r="C22">
        <v>6</v>
      </c>
      <c r="D22">
        <v>0.81412593606651296</v>
      </c>
    </row>
    <row r="23" spans="1:4" x14ac:dyDescent="0.2">
      <c r="A23" t="s">
        <v>9</v>
      </c>
      <c r="B23" t="s">
        <v>15</v>
      </c>
      <c r="C23">
        <v>10</v>
      </c>
      <c r="D23">
        <v>0.99730102600680304</v>
      </c>
    </row>
    <row r="24" spans="1:4" x14ac:dyDescent="0.2">
      <c r="A24" t="s">
        <v>9</v>
      </c>
      <c r="B24" t="s">
        <v>13</v>
      </c>
      <c r="C24">
        <v>11</v>
      </c>
      <c r="D24">
        <v>0.99452541163085195</v>
      </c>
    </row>
    <row r="25" spans="1:4" x14ac:dyDescent="0.2">
      <c r="A25" t="s">
        <v>14</v>
      </c>
      <c r="B25" t="s">
        <v>15</v>
      </c>
      <c r="C25">
        <v>11</v>
      </c>
      <c r="D25">
        <v>0.99427084087367901</v>
      </c>
    </row>
    <row r="26" spans="1:4" x14ac:dyDescent="0.2">
      <c r="A26" t="s">
        <v>15</v>
      </c>
      <c r="B26" t="s">
        <v>7</v>
      </c>
      <c r="C26">
        <v>14</v>
      </c>
      <c r="D26">
        <v>0.99647808221021705</v>
      </c>
    </row>
    <row r="27" spans="1:4" x14ac:dyDescent="0.2">
      <c r="A27" t="s">
        <v>13</v>
      </c>
      <c r="B27" t="s">
        <v>7</v>
      </c>
      <c r="C27">
        <v>15</v>
      </c>
      <c r="D27">
        <v>0.99387139186396001</v>
      </c>
    </row>
    <row r="28" spans="1:4" x14ac:dyDescent="0.2">
      <c r="A28" t="s">
        <v>8</v>
      </c>
      <c r="B28" t="s">
        <v>11</v>
      </c>
      <c r="C28">
        <v>16</v>
      </c>
      <c r="D28">
        <v>0.35851062542703799</v>
      </c>
    </row>
    <row r="29" spans="1:4" x14ac:dyDescent="0.2">
      <c r="A29" t="s">
        <v>12</v>
      </c>
      <c r="B29" t="s">
        <v>7</v>
      </c>
      <c r="C29">
        <v>16</v>
      </c>
      <c r="D29">
        <v>4.0277845640193301E-2</v>
      </c>
    </row>
    <row r="30" spans="1:4" x14ac:dyDescent="0.2">
      <c r="A30" t="s">
        <v>14</v>
      </c>
      <c r="B30" t="s">
        <v>7</v>
      </c>
      <c r="C30">
        <v>19</v>
      </c>
      <c r="D30">
        <v>0.99685332624040801</v>
      </c>
    </row>
    <row r="31" spans="1:4" x14ac:dyDescent="0.2">
      <c r="A31" t="s">
        <v>13</v>
      </c>
      <c r="B31" t="s">
        <v>17</v>
      </c>
      <c r="C31">
        <v>21</v>
      </c>
      <c r="D31">
        <v>0.99425674759992699</v>
      </c>
    </row>
    <row r="32" spans="1:4" x14ac:dyDescent="0.2">
      <c r="A32" t="s">
        <v>12</v>
      </c>
      <c r="B32" t="s">
        <v>17</v>
      </c>
      <c r="C32">
        <v>23</v>
      </c>
      <c r="D32">
        <v>4.0905686570704702E-2</v>
      </c>
    </row>
    <row r="33" spans="1:4" x14ac:dyDescent="0.2">
      <c r="A33" t="s">
        <v>6</v>
      </c>
      <c r="B33" t="s">
        <v>17</v>
      </c>
      <c r="C33">
        <v>25</v>
      </c>
      <c r="D33">
        <v>0.81850281031251004</v>
      </c>
    </row>
    <row r="34" spans="1:4" x14ac:dyDescent="0.2">
      <c r="A34" t="s">
        <v>15</v>
      </c>
      <c r="B34" t="s">
        <v>17</v>
      </c>
      <c r="C34">
        <v>27</v>
      </c>
      <c r="D34">
        <v>0.99729659760969602</v>
      </c>
    </row>
    <row r="35" spans="1:4" x14ac:dyDescent="0.2">
      <c r="A35" t="s">
        <v>16</v>
      </c>
      <c r="B35" t="s">
        <v>17</v>
      </c>
      <c r="C35">
        <v>31</v>
      </c>
      <c r="D35">
        <v>0.98769271151299398</v>
      </c>
    </row>
    <row r="36" spans="1:4" x14ac:dyDescent="0.2">
      <c r="A36" t="s">
        <v>8</v>
      </c>
      <c r="B36" t="s">
        <v>17</v>
      </c>
      <c r="C36">
        <v>31</v>
      </c>
      <c r="D36">
        <v>0.75323567310405004</v>
      </c>
    </row>
    <row r="37" spans="1:4" x14ac:dyDescent="0.2">
      <c r="A37" t="s">
        <v>14</v>
      </c>
      <c r="B37" t="s">
        <v>17</v>
      </c>
      <c r="C37">
        <v>36</v>
      </c>
      <c r="D37">
        <v>0.99715990203768101</v>
      </c>
    </row>
    <row r="38" spans="1:4" x14ac:dyDescent="0.2">
      <c r="A38" t="s">
        <v>9</v>
      </c>
      <c r="B38" t="s">
        <v>7</v>
      </c>
      <c r="C38">
        <v>37</v>
      </c>
      <c r="D38">
        <v>0.99895833391410904</v>
      </c>
    </row>
    <row r="39" spans="1:4" x14ac:dyDescent="0.2">
      <c r="A39" t="s">
        <v>10</v>
      </c>
      <c r="B39" t="s">
        <v>17</v>
      </c>
      <c r="C39">
        <v>38</v>
      </c>
      <c r="D39">
        <v>0.997971085695188</v>
      </c>
    </row>
    <row r="40" spans="1:4" x14ac:dyDescent="0.2">
      <c r="A40" t="s">
        <v>11</v>
      </c>
      <c r="B40" t="s">
        <v>17</v>
      </c>
      <c r="C40">
        <v>39</v>
      </c>
      <c r="D40">
        <v>0.45293662672603102</v>
      </c>
    </row>
    <row r="41" spans="1:4" x14ac:dyDescent="0.2">
      <c r="A41" t="s">
        <v>14</v>
      </c>
      <c r="B41" t="s">
        <v>13</v>
      </c>
      <c r="C41">
        <v>45</v>
      </c>
      <c r="D41">
        <v>0.99188154374577098</v>
      </c>
    </row>
    <row r="42" spans="1:4" x14ac:dyDescent="0.2">
      <c r="A42" t="s">
        <v>9</v>
      </c>
      <c r="B42" t="s">
        <v>17</v>
      </c>
      <c r="C42">
        <v>70</v>
      </c>
      <c r="D42">
        <v>0.99933465930751997</v>
      </c>
    </row>
    <row r="43" spans="1:4" x14ac:dyDescent="0.2">
      <c r="A43" t="s">
        <v>7</v>
      </c>
      <c r="B43" t="s">
        <v>17</v>
      </c>
      <c r="C43">
        <v>97</v>
      </c>
      <c r="D43">
        <v>0.99895220522055195</v>
      </c>
    </row>
    <row r="44" spans="1:4" x14ac:dyDescent="0.2">
      <c r="A44" t="s">
        <v>16</v>
      </c>
      <c r="B44" t="s">
        <v>12</v>
      </c>
      <c r="C44">
        <v>0</v>
      </c>
      <c r="D44">
        <v>3.68911927897018E-2</v>
      </c>
    </row>
    <row r="45" spans="1:4" x14ac:dyDescent="0.2">
      <c r="A45" t="s">
        <v>9</v>
      </c>
      <c r="B45" t="s">
        <v>12</v>
      </c>
      <c r="C45">
        <v>0</v>
      </c>
      <c r="D45">
        <v>4.5899016649685299E-2</v>
      </c>
    </row>
    <row r="46" spans="1:4" x14ac:dyDescent="0.2">
      <c r="A46" t="s">
        <v>6</v>
      </c>
      <c r="B46" t="s">
        <v>11</v>
      </c>
      <c r="C46">
        <v>0</v>
      </c>
      <c r="D46">
        <v>0.43243722257477102</v>
      </c>
    </row>
    <row r="47" spans="1:4" x14ac:dyDescent="0.2">
      <c r="A47" t="s">
        <v>16</v>
      </c>
      <c r="B47" t="s">
        <v>11</v>
      </c>
      <c r="C47">
        <v>0</v>
      </c>
      <c r="D47">
        <v>0.43909959035877999</v>
      </c>
    </row>
    <row r="48" spans="1:4" x14ac:dyDescent="0.2">
      <c r="A48" t="s">
        <v>9</v>
      </c>
      <c r="B48" t="s">
        <v>11</v>
      </c>
      <c r="C48">
        <v>0</v>
      </c>
      <c r="D48">
        <v>0.45629618103424702</v>
      </c>
    </row>
    <row r="49" spans="1:4" x14ac:dyDescent="0.2">
      <c r="A49" t="s">
        <v>6</v>
      </c>
      <c r="B49" t="s">
        <v>8</v>
      </c>
      <c r="C49">
        <v>0</v>
      </c>
      <c r="D49">
        <v>0.62475009616506405</v>
      </c>
    </row>
    <row r="50" spans="1:4" x14ac:dyDescent="0.2">
      <c r="A50" t="s">
        <v>16</v>
      </c>
      <c r="B50" t="s">
        <v>8</v>
      </c>
      <c r="C50">
        <v>0</v>
      </c>
      <c r="D50">
        <v>0.75685222851240896</v>
      </c>
    </row>
    <row r="51" spans="1:4" x14ac:dyDescent="0.2">
      <c r="A51" t="s">
        <v>15</v>
      </c>
      <c r="B51" t="s">
        <v>6</v>
      </c>
      <c r="C51">
        <v>0</v>
      </c>
      <c r="D51">
        <v>0.81500476323093296</v>
      </c>
    </row>
    <row r="52" spans="1:4" x14ac:dyDescent="0.2">
      <c r="A52" t="s">
        <v>13</v>
      </c>
      <c r="B52" t="s">
        <v>6</v>
      </c>
      <c r="C52">
        <v>0</v>
      </c>
      <c r="D52">
        <v>0.81642656227258903</v>
      </c>
    </row>
    <row r="53" spans="1:4" x14ac:dyDescent="0.2">
      <c r="A53" t="s">
        <v>9</v>
      </c>
      <c r="B53" t="s">
        <v>6</v>
      </c>
      <c r="C53">
        <v>0</v>
      </c>
      <c r="D53">
        <v>0.81772346417870501</v>
      </c>
    </row>
    <row r="54" spans="1:4" x14ac:dyDescent="0.2">
      <c r="A54" t="s">
        <v>14</v>
      </c>
      <c r="B54" t="s">
        <v>6</v>
      </c>
      <c r="C54">
        <v>0</v>
      </c>
      <c r="D54">
        <v>0.820031205147294</v>
      </c>
    </row>
    <row r="55" spans="1:4" x14ac:dyDescent="0.2">
      <c r="A55" t="s">
        <v>10</v>
      </c>
      <c r="B55" t="s">
        <v>6</v>
      </c>
      <c r="C55">
        <v>0</v>
      </c>
      <c r="D55">
        <v>0.82071266310996505</v>
      </c>
    </row>
    <row r="56" spans="1:4" x14ac:dyDescent="0.2">
      <c r="A56" t="s">
        <v>16</v>
      </c>
      <c r="B56" t="s">
        <v>13</v>
      </c>
      <c r="C56">
        <v>0</v>
      </c>
      <c r="D56">
        <v>0.98237208052437397</v>
      </c>
    </row>
    <row r="57" spans="1:4" x14ac:dyDescent="0.2">
      <c r="A57" t="s">
        <v>14</v>
      </c>
      <c r="B57" t="s">
        <v>16</v>
      </c>
      <c r="C57">
        <v>0</v>
      </c>
      <c r="D57">
        <v>0.984427412049801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To_Know_A_Woman_Clusters_All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Omri Rafaeli</cp:lastModifiedBy>
  <dcterms:created xsi:type="dcterms:W3CDTF">2025-05-12T11:15:08Z</dcterms:created>
  <dcterms:modified xsi:type="dcterms:W3CDTF">2025-05-21T08:58:51Z</dcterms:modified>
</cp:coreProperties>
</file>